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56" documentId="8_{DADC88A7-B2D0-45B5-8022-27858212C112}" xr6:coauthVersionLast="47" xr6:coauthVersionMax="47" xr10:uidLastSave="{286E5C2A-7A1C-4C10-91E8-130F9F4CACA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H48" i="1"/>
  <c r="I47" i="1"/>
  <c r="H47" i="1"/>
  <c r="I46" i="1"/>
  <c r="H46" i="1"/>
  <c r="I45" i="1"/>
  <c r="H45" i="1"/>
</calcChain>
</file>

<file path=xl/sharedStrings.xml><?xml version="1.0" encoding="utf-8"?>
<sst xmlns="http://schemas.openxmlformats.org/spreadsheetml/2006/main" count="135" uniqueCount="41">
  <si>
    <t>meth.butyric+isovaleric acid</t>
  </si>
  <si>
    <t>pentanoic acid</t>
  </si>
  <si>
    <t>iso caproic</t>
  </si>
  <si>
    <t>hexanoic acid</t>
  </si>
  <si>
    <t>total VFA</t>
  </si>
  <si>
    <t>date</t>
  </si>
  <si>
    <t>id</t>
  </si>
  <si>
    <t>pH</t>
  </si>
  <si>
    <t>mg/L</t>
  </si>
  <si>
    <t>AD-F</t>
  </si>
  <si>
    <t>AD-L</t>
  </si>
  <si>
    <t>AD</t>
  </si>
  <si>
    <t>PS-F</t>
  </si>
  <si>
    <t>PS-L</t>
  </si>
  <si>
    <t>PS</t>
  </si>
  <si>
    <t>AD-LB1</t>
  </si>
  <si>
    <t>AD-LB2</t>
  </si>
  <si>
    <t>AD-FB</t>
  </si>
  <si>
    <t>PS-LB1</t>
  </si>
  <si>
    <t>PS-LB2</t>
  </si>
  <si>
    <t>DM</t>
  </si>
  <si>
    <t>VS</t>
  </si>
  <si>
    <t>total_N</t>
  </si>
  <si>
    <t>NH3_N</t>
  </si>
  <si>
    <t>experiment</t>
  </si>
  <si>
    <t>%</t>
  </si>
  <si>
    <t>g/kg</t>
  </si>
  <si>
    <t>Acetic acid</t>
  </si>
  <si>
    <t>Propanoic acid</t>
  </si>
  <si>
    <t>Butanoic acid</t>
  </si>
  <si>
    <t>Iso-buthyric acid</t>
  </si>
  <si>
    <t>B</t>
  </si>
  <si>
    <t>C</t>
  </si>
  <si>
    <t>D</t>
  </si>
  <si>
    <t>E</t>
  </si>
  <si>
    <t>G</t>
  </si>
  <si>
    <t>H</t>
  </si>
  <si>
    <t>I</t>
  </si>
  <si>
    <t>J</t>
  </si>
  <si>
    <t>K</t>
  </si>
  <si>
    <t>Anna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</si>
</sst>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4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2" borderId="0" xfId="0" applyNumberFormat="1" applyFill="1"/>
    <xf numFmtId="164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14" fontId="0" fillId="5" borderId="0" xfId="0" applyNumberFormat="1" applyFill="1"/>
    <xf numFmtId="14" fontId="0" fillId="6" borderId="0" xfId="0" applyNumberFormat="1" applyFill="1"/>
    <xf numFmtId="14" fontId="0" fillId="7" borderId="0" xfId="0" applyNumberFormat="1" applyFill="1"/>
    <xf numFmtId="14" fontId="1" fillId="8" borderId="0" xfId="0" applyNumberFormat="1" applyFont="1" applyFill="1"/>
    <xf numFmtId="14" fontId="0" fillId="9" borderId="0" xfId="0" applyNumberFormat="1" applyFill="1"/>
    <xf numFmtId="14" fontId="1" fillId="9" borderId="0" xfId="0" applyNumberFormat="1" applyFont="1" applyFill="1"/>
    <xf numFmtId="14" fontId="0" fillId="8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R54"/>
  <sheetViews>
    <sheetView tabSelected="1" topLeftCell="A15" workbookViewId="0">
      <selection activeCell="F23" sqref="F23:F24"/>
    </sheetView>
  </sheetViews>
  <sheetFormatPr defaultRowHeight="14.5" x14ac:dyDescent="0.35"/>
  <cols>
    <col min="1" max="1" width="10.7265625" bestFit="1" customWidth="1"/>
    <col min="2" max="2" width="10.7265625" customWidth="1"/>
    <col min="3" max="3" width="10.08984375" bestFit="1" customWidth="1"/>
  </cols>
  <sheetData>
    <row r="1" spans="1:18" ht="15" thickBot="1" x14ac:dyDescent="0.4">
      <c r="E1" s="1"/>
      <c r="F1" s="1" t="s">
        <v>25</v>
      </c>
      <c r="G1" s="1" t="s">
        <v>25</v>
      </c>
      <c r="H1" s="1" t="s">
        <v>26</v>
      </c>
      <c r="I1" s="1" t="s">
        <v>26</v>
      </c>
      <c r="J1" s="1" t="s">
        <v>8</v>
      </c>
      <c r="K1" s="1" t="s">
        <v>8</v>
      </c>
      <c r="L1" s="1" t="s">
        <v>8</v>
      </c>
      <c r="M1" s="1" t="s">
        <v>8</v>
      </c>
      <c r="N1" s="1" t="s">
        <v>8</v>
      </c>
      <c r="O1" s="1" t="s">
        <v>8</v>
      </c>
      <c r="P1" s="1" t="s">
        <v>8</v>
      </c>
      <c r="Q1" s="1" t="s">
        <v>8</v>
      </c>
      <c r="R1" s="1" t="s">
        <v>8</v>
      </c>
    </row>
    <row r="2" spans="1:18" x14ac:dyDescent="0.35">
      <c r="A2" t="s">
        <v>24</v>
      </c>
      <c r="B2" t="s">
        <v>40</v>
      </c>
      <c r="C2" t="s">
        <v>5</v>
      </c>
      <c r="D2" t="s">
        <v>6</v>
      </c>
      <c r="E2" s="1" t="s">
        <v>7</v>
      </c>
      <c r="F2" s="1" t="s">
        <v>20</v>
      </c>
      <c r="G2" s="1" t="s">
        <v>21</v>
      </c>
      <c r="H2" s="1" t="s">
        <v>22</v>
      </c>
      <c r="I2" s="1" t="s">
        <v>23</v>
      </c>
      <c r="J2" s="2" t="s">
        <v>27</v>
      </c>
      <c r="K2" s="2" t="s">
        <v>28</v>
      </c>
      <c r="L2" s="2" t="s">
        <v>30</v>
      </c>
      <c r="M2" s="2" t="s">
        <v>29</v>
      </c>
      <c r="N2" s="2" t="s">
        <v>0</v>
      </c>
      <c r="O2" s="2" t="s">
        <v>1</v>
      </c>
      <c r="P2" s="2" t="s">
        <v>2</v>
      </c>
      <c r="Q2" s="3" t="s">
        <v>3</v>
      </c>
      <c r="R2" s="4" t="s">
        <v>4</v>
      </c>
    </row>
    <row r="3" spans="1:18" x14ac:dyDescent="0.35">
      <c r="A3">
        <v>1</v>
      </c>
      <c r="B3" t="s">
        <v>31</v>
      </c>
      <c r="C3" s="5">
        <v>44656</v>
      </c>
      <c r="D3" s="6" t="s">
        <v>9</v>
      </c>
      <c r="E3" s="7">
        <v>8.0399999999999991</v>
      </c>
      <c r="F3" s="8">
        <v>22.411003236245953</v>
      </c>
      <c r="G3" s="9">
        <v>88.119461765671147</v>
      </c>
      <c r="H3" s="8">
        <v>3.7644448727833462</v>
      </c>
      <c r="I3" s="10">
        <v>0.34424830261881667</v>
      </c>
      <c r="J3" s="11">
        <v>67.87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67.87</v>
      </c>
    </row>
    <row r="4" spans="1:18" x14ac:dyDescent="0.35">
      <c r="A4">
        <v>1</v>
      </c>
      <c r="B4" t="s">
        <v>31</v>
      </c>
      <c r="C4" s="5">
        <v>44656</v>
      </c>
      <c r="D4" s="6" t="s">
        <v>9</v>
      </c>
      <c r="E4" s="7">
        <v>8.01</v>
      </c>
      <c r="F4" s="8">
        <v>22.578430699526326</v>
      </c>
      <c r="G4" s="9">
        <v>87.899057464274904</v>
      </c>
      <c r="H4" s="8">
        <v>3.3459445350734089</v>
      </c>
      <c r="I4" s="10">
        <v>0.5224352517985611</v>
      </c>
      <c r="J4" s="11">
        <v>62.95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62.95</v>
      </c>
    </row>
    <row r="5" spans="1:18" x14ac:dyDescent="0.35">
      <c r="A5">
        <v>1</v>
      </c>
      <c r="B5" t="s">
        <v>31</v>
      </c>
      <c r="C5" s="5">
        <v>44656</v>
      </c>
      <c r="D5" s="12" t="s">
        <v>10</v>
      </c>
      <c r="E5" s="7">
        <v>7.53</v>
      </c>
      <c r="F5" s="8">
        <v>4.1734396854799076</v>
      </c>
      <c r="G5" s="9">
        <v>70.380434782608688</v>
      </c>
      <c r="H5" s="8">
        <v>2.4835909090909092</v>
      </c>
      <c r="I5" s="8">
        <v>1.1950286806883363</v>
      </c>
      <c r="J5" s="11">
        <v>1152.3800000000001</v>
      </c>
      <c r="K5" s="11">
        <v>668.77</v>
      </c>
      <c r="L5" s="11">
        <v>59.14</v>
      </c>
      <c r="M5" s="11">
        <v>49.71</v>
      </c>
      <c r="N5" s="11">
        <v>78.86</v>
      </c>
      <c r="O5" s="11">
        <v>19.170000000000002</v>
      </c>
      <c r="P5" s="11">
        <v>0</v>
      </c>
      <c r="Q5" s="11">
        <v>9.14</v>
      </c>
      <c r="R5" s="11">
        <v>2037.1700000000003</v>
      </c>
    </row>
    <row r="6" spans="1:18" x14ac:dyDescent="0.35">
      <c r="A6">
        <v>1</v>
      </c>
      <c r="B6" t="s">
        <v>31</v>
      </c>
      <c r="C6" s="5">
        <v>44656</v>
      </c>
      <c r="D6" s="12" t="s">
        <v>10</v>
      </c>
      <c r="E6" s="7">
        <v>7.53</v>
      </c>
      <c r="F6" s="8">
        <v>4.1509314875398422</v>
      </c>
      <c r="G6" s="9">
        <v>69.944247339077506</v>
      </c>
      <c r="H6" s="8">
        <v>2.4807328190743339</v>
      </c>
      <c r="I6" s="8">
        <v>1.0638297872340428</v>
      </c>
      <c r="J6" s="11">
        <v>1169.94</v>
      </c>
      <c r="K6" s="11">
        <v>677.96</v>
      </c>
      <c r="L6" s="11">
        <v>57.87</v>
      </c>
      <c r="M6" s="11">
        <v>48.89</v>
      </c>
      <c r="N6" s="11">
        <v>81.7</v>
      </c>
      <c r="O6" s="11">
        <v>14.29</v>
      </c>
      <c r="P6" s="11">
        <v>13.83</v>
      </c>
      <c r="Q6" s="11">
        <v>12.36</v>
      </c>
      <c r="R6" s="11">
        <v>2076.84</v>
      </c>
    </row>
    <row r="7" spans="1:18" x14ac:dyDescent="0.35">
      <c r="A7">
        <v>1</v>
      </c>
      <c r="B7" t="s">
        <v>31</v>
      </c>
      <c r="C7" s="5">
        <v>44656</v>
      </c>
      <c r="D7" s="13" t="s">
        <v>11</v>
      </c>
      <c r="E7" s="8">
        <v>7.53</v>
      </c>
      <c r="F7" s="8">
        <v>6.2608628008801359</v>
      </c>
      <c r="G7" s="9">
        <v>77.209393137968377</v>
      </c>
      <c r="H7" s="8">
        <v>2.7338771593090208</v>
      </c>
      <c r="I7" s="8">
        <v>1.1482254697286014</v>
      </c>
      <c r="J7" s="11">
        <v>1441.58</v>
      </c>
      <c r="K7" s="11">
        <v>552.22</v>
      </c>
      <c r="L7" s="11">
        <v>70.39</v>
      </c>
      <c r="M7" s="11">
        <v>44.82</v>
      </c>
      <c r="N7" s="11">
        <v>87.25</v>
      </c>
      <c r="O7" s="11">
        <v>10.84</v>
      </c>
      <c r="P7" s="11">
        <v>17.14</v>
      </c>
      <c r="Q7" s="11">
        <v>19.63</v>
      </c>
      <c r="R7" s="11">
        <v>2243.8700000000003</v>
      </c>
    </row>
    <row r="8" spans="1:18" x14ac:dyDescent="0.35">
      <c r="A8">
        <v>1</v>
      </c>
      <c r="B8" t="s">
        <v>31</v>
      </c>
      <c r="C8" s="5">
        <v>44656</v>
      </c>
      <c r="D8" s="13" t="s">
        <v>11</v>
      </c>
      <c r="E8" s="7">
        <v>7.48</v>
      </c>
      <c r="F8" s="8">
        <v>6.1342631396609342</v>
      </c>
      <c r="G8" s="9">
        <v>76.571324467116042</v>
      </c>
      <c r="H8" s="8">
        <v>2.7004040219378429</v>
      </c>
      <c r="I8" s="8">
        <v>1.1026293469041559</v>
      </c>
      <c r="J8" s="11">
        <v>1464.54</v>
      </c>
      <c r="K8" s="11">
        <v>569.65</v>
      </c>
      <c r="L8" s="11">
        <v>71.58</v>
      </c>
      <c r="M8" s="11">
        <v>45.89</v>
      </c>
      <c r="N8" s="11">
        <v>90.97</v>
      </c>
      <c r="O8" s="11">
        <v>21.29</v>
      </c>
      <c r="P8" s="11">
        <v>8.61</v>
      </c>
      <c r="Q8" s="11">
        <v>45</v>
      </c>
      <c r="R8" s="11">
        <v>2317.5299999999997</v>
      </c>
    </row>
    <row r="9" spans="1:18" x14ac:dyDescent="0.35">
      <c r="A9">
        <v>4</v>
      </c>
      <c r="B9" t="s">
        <v>32</v>
      </c>
      <c r="C9" s="14">
        <v>44663</v>
      </c>
      <c r="D9" s="13" t="s">
        <v>12</v>
      </c>
      <c r="E9" s="7">
        <v>8.2899999999999991</v>
      </c>
      <c r="F9" s="8">
        <v>21.882001493651977</v>
      </c>
      <c r="G9" s="9">
        <v>92.984452028820641</v>
      </c>
      <c r="H9" s="8">
        <v>2.7725159651669085</v>
      </c>
      <c r="I9" s="10">
        <v>0.68817267927848658</v>
      </c>
      <c r="J9" s="11">
        <v>67.36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67.36</v>
      </c>
    </row>
    <row r="10" spans="1:18" x14ac:dyDescent="0.35">
      <c r="A10">
        <v>4</v>
      </c>
      <c r="B10" t="s">
        <v>32</v>
      </c>
      <c r="C10" s="14">
        <v>44663</v>
      </c>
      <c r="D10" s="13" t="s">
        <v>12</v>
      </c>
      <c r="E10" s="7">
        <v>8.34</v>
      </c>
      <c r="F10" s="8">
        <v>22.708688245315166</v>
      </c>
      <c r="G10" s="9">
        <v>92.610652663165794</v>
      </c>
      <c r="H10" s="8">
        <v>2.6880632530120483</v>
      </c>
      <c r="I10" s="10">
        <v>0.73645392100744134</v>
      </c>
      <c r="J10" s="11">
        <v>65.44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65.44</v>
      </c>
    </row>
    <row r="11" spans="1:18" x14ac:dyDescent="0.35">
      <c r="A11">
        <v>4</v>
      </c>
      <c r="B11" t="s">
        <v>32</v>
      </c>
      <c r="C11" s="14">
        <v>44663</v>
      </c>
      <c r="D11" s="13" t="s">
        <v>13</v>
      </c>
      <c r="E11" s="7">
        <v>7.36</v>
      </c>
      <c r="F11" s="8">
        <v>2.3776109278881008</v>
      </c>
      <c r="G11" s="9">
        <v>69.749139203148033</v>
      </c>
      <c r="H11" s="8">
        <v>1.5911916201117318</v>
      </c>
      <c r="I11" s="8">
        <v>1.0464058234758873</v>
      </c>
      <c r="J11" s="11">
        <v>2422.5</v>
      </c>
      <c r="K11" s="11">
        <v>1213.33</v>
      </c>
      <c r="L11" s="11">
        <v>301.77</v>
      </c>
      <c r="M11" s="11">
        <v>790.29</v>
      </c>
      <c r="N11" s="11">
        <v>394.96</v>
      </c>
      <c r="O11" s="11">
        <v>213.51</v>
      </c>
      <c r="P11" s="11">
        <v>9.0399999999999991</v>
      </c>
      <c r="Q11" s="11">
        <v>74.13</v>
      </c>
      <c r="R11" s="11">
        <v>5419.53</v>
      </c>
    </row>
    <row r="12" spans="1:18" x14ac:dyDescent="0.35">
      <c r="A12">
        <v>4</v>
      </c>
      <c r="B12" t="s">
        <v>32</v>
      </c>
      <c r="C12" s="14">
        <v>44663</v>
      </c>
      <c r="D12" s="13" t="s">
        <v>13</v>
      </c>
      <c r="E12" s="7">
        <v>7.36</v>
      </c>
      <c r="F12" s="8">
        <v>2.3919763150000648</v>
      </c>
      <c r="G12" s="9">
        <v>69.792802617230123</v>
      </c>
      <c r="H12" s="8">
        <v>2.2167138157894737</v>
      </c>
      <c r="I12" s="8">
        <v>0.97297297297297292</v>
      </c>
      <c r="J12" s="11">
        <v>2428.4499999999998</v>
      </c>
      <c r="K12" s="11">
        <v>1209.24</v>
      </c>
      <c r="L12" s="11">
        <v>299.05</v>
      </c>
      <c r="M12" s="11">
        <v>789.73</v>
      </c>
      <c r="N12" s="11">
        <v>397.32</v>
      </c>
      <c r="O12" s="11">
        <v>216.27</v>
      </c>
      <c r="P12" s="11">
        <v>8.7899999999999991</v>
      </c>
      <c r="Q12" s="11">
        <v>147.07</v>
      </c>
      <c r="R12" s="11">
        <v>5495.9199999999992</v>
      </c>
    </row>
    <row r="13" spans="1:18" x14ac:dyDescent="0.35">
      <c r="A13">
        <v>4</v>
      </c>
      <c r="B13" t="s">
        <v>32</v>
      </c>
      <c r="C13" s="14">
        <v>44663</v>
      </c>
      <c r="D13" s="13" t="s">
        <v>14</v>
      </c>
      <c r="E13" s="7">
        <v>7.16</v>
      </c>
      <c r="F13" s="8">
        <v>3.5833111878820092</v>
      </c>
      <c r="G13" s="9">
        <v>76.980124592109149</v>
      </c>
      <c r="H13" s="8">
        <v>2.0558703256936068</v>
      </c>
      <c r="I13" s="8">
        <v>1.1413043478260869</v>
      </c>
      <c r="J13" s="11">
        <v>3089.68</v>
      </c>
      <c r="K13" s="11">
        <v>1560.17</v>
      </c>
      <c r="L13" s="11">
        <v>304.77</v>
      </c>
      <c r="M13" s="11">
        <v>976.86</v>
      </c>
      <c r="N13" s="11">
        <v>396.89</v>
      </c>
      <c r="O13" s="11">
        <v>239.92</v>
      </c>
      <c r="P13" s="11">
        <v>9.8800000000000008</v>
      </c>
      <c r="Q13" s="11">
        <v>160.63</v>
      </c>
      <c r="R13" s="11">
        <v>6738.8000000000011</v>
      </c>
    </row>
    <row r="14" spans="1:18" x14ac:dyDescent="0.35">
      <c r="A14">
        <v>4</v>
      </c>
      <c r="B14" t="s">
        <v>32</v>
      </c>
      <c r="C14" s="14">
        <v>44663</v>
      </c>
      <c r="D14" s="13" t="s">
        <v>14</v>
      </c>
      <c r="E14" s="7">
        <v>7.16</v>
      </c>
      <c r="F14" s="8">
        <v>3.682926245783595</v>
      </c>
      <c r="G14" s="9">
        <v>77.52517050990582</v>
      </c>
      <c r="H14" s="8">
        <v>1.999936991869919</v>
      </c>
      <c r="I14" s="8">
        <v>1.1879049676025919</v>
      </c>
      <c r="J14" s="11">
        <v>3085.25</v>
      </c>
      <c r="K14" s="11">
        <v>1558.56</v>
      </c>
      <c r="L14" s="11">
        <v>304.32</v>
      </c>
      <c r="M14" s="11">
        <v>975.25</v>
      </c>
      <c r="N14" s="11">
        <v>392.35</v>
      </c>
      <c r="O14" s="11">
        <v>238.2</v>
      </c>
      <c r="P14" s="11">
        <v>9.44</v>
      </c>
      <c r="Q14" s="11">
        <v>151.44999999999999</v>
      </c>
      <c r="R14" s="11">
        <v>6714.8199999999988</v>
      </c>
    </row>
    <row r="15" spans="1:18" x14ac:dyDescent="0.35">
      <c r="A15">
        <v>2</v>
      </c>
      <c r="B15" t="s">
        <v>33</v>
      </c>
      <c r="C15" s="15">
        <v>44670</v>
      </c>
      <c r="D15" s="13" t="s">
        <v>9</v>
      </c>
      <c r="E15" s="7">
        <v>8</v>
      </c>
      <c r="F15" s="8">
        <v>21.69265391416171</v>
      </c>
      <c r="G15" s="9"/>
      <c r="H15" s="8">
        <v>4.1806156015037592</v>
      </c>
      <c r="I15" s="10">
        <v>0.33090072057646119</v>
      </c>
      <c r="J15" s="11">
        <v>66.59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66.59</v>
      </c>
    </row>
    <row r="16" spans="1:18" x14ac:dyDescent="0.35">
      <c r="A16">
        <v>2</v>
      </c>
      <c r="B16" t="s">
        <v>33</v>
      </c>
      <c r="C16" s="15">
        <v>44670</v>
      </c>
      <c r="D16" s="13" t="s">
        <v>9</v>
      </c>
      <c r="E16" s="7">
        <v>8.0299999999999994</v>
      </c>
      <c r="F16" s="8">
        <v>22.270575660406166</v>
      </c>
      <c r="G16" s="9">
        <v>88.584161810078882</v>
      </c>
      <c r="H16" s="8">
        <v>3.6166110678098211</v>
      </c>
      <c r="I16" s="10">
        <v>0.52041055718475071</v>
      </c>
      <c r="J16" s="11">
        <v>67.89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67.89</v>
      </c>
    </row>
    <row r="17" spans="1:18" x14ac:dyDescent="0.35">
      <c r="A17">
        <v>2</v>
      </c>
      <c r="B17" t="s">
        <v>33</v>
      </c>
      <c r="C17" s="15">
        <v>44670</v>
      </c>
      <c r="D17" s="13" t="s">
        <v>10</v>
      </c>
      <c r="E17" s="7">
        <v>7.77</v>
      </c>
      <c r="F17" s="8">
        <v>4.1170142915019348</v>
      </c>
      <c r="G17" s="9">
        <v>69.935527655242609</v>
      </c>
      <c r="H17" s="8">
        <v>1.9285370370370367</v>
      </c>
      <c r="I17" s="8">
        <v>1.2711864406779663</v>
      </c>
      <c r="J17" s="11">
        <v>1065.9100000000001</v>
      </c>
      <c r="K17" s="11">
        <v>587.61</v>
      </c>
      <c r="L17" s="11">
        <v>55.18</v>
      </c>
      <c r="M17" s="11">
        <v>54.24</v>
      </c>
      <c r="N17" s="11">
        <v>83.01</v>
      </c>
      <c r="O17" s="11">
        <v>16.440000000000001</v>
      </c>
      <c r="P17" s="11">
        <v>7.41</v>
      </c>
      <c r="Q17" s="11">
        <v>11.3</v>
      </c>
      <c r="R17" s="11">
        <v>1881.1000000000001</v>
      </c>
    </row>
    <row r="18" spans="1:18" x14ac:dyDescent="0.35">
      <c r="A18">
        <v>2</v>
      </c>
      <c r="B18" t="s">
        <v>33</v>
      </c>
      <c r="C18" s="15">
        <v>44670</v>
      </c>
      <c r="D18" s="13" t="s">
        <v>10</v>
      </c>
      <c r="E18" s="7">
        <v>7.77</v>
      </c>
      <c r="F18" s="8">
        <v>4.3312295642916903</v>
      </c>
      <c r="G18" s="9">
        <v>71.313202247191015</v>
      </c>
      <c r="H18" s="8">
        <v>2.2972447097124253</v>
      </c>
      <c r="I18" s="8">
        <v>1.3487475915221581</v>
      </c>
      <c r="J18" s="11">
        <v>1049.93</v>
      </c>
      <c r="K18" s="11">
        <v>585.02</v>
      </c>
      <c r="L18" s="11">
        <v>55.21</v>
      </c>
      <c r="M18" s="11">
        <v>51.17</v>
      </c>
      <c r="N18" s="11">
        <v>81.78</v>
      </c>
      <c r="O18" s="11">
        <v>7.24</v>
      </c>
      <c r="P18" s="11">
        <v>14.29</v>
      </c>
      <c r="Q18" s="11">
        <v>17.829999999999998</v>
      </c>
      <c r="R18" s="11">
        <v>1862.47</v>
      </c>
    </row>
    <row r="19" spans="1:18" x14ac:dyDescent="0.35">
      <c r="A19">
        <v>2</v>
      </c>
      <c r="B19" t="s">
        <v>33</v>
      </c>
      <c r="C19" s="15">
        <v>44670</v>
      </c>
      <c r="D19" s="13" t="s">
        <v>11</v>
      </c>
      <c r="E19" s="7">
        <v>7.66</v>
      </c>
      <c r="F19" s="8">
        <v>6.0853962654339773</v>
      </c>
      <c r="G19" s="9">
        <v>77.286356821589223</v>
      </c>
      <c r="H19" s="8">
        <v>2.7270649966147595</v>
      </c>
      <c r="I19" s="8">
        <v>1.2363996043521268</v>
      </c>
      <c r="J19" s="11">
        <v>1388.9</v>
      </c>
      <c r="K19" s="11">
        <v>521.11</v>
      </c>
      <c r="L19" s="11">
        <v>67.75</v>
      </c>
      <c r="M19" s="11">
        <v>46.32</v>
      </c>
      <c r="N19" s="11">
        <v>85.69</v>
      </c>
      <c r="O19" s="11">
        <v>14.75</v>
      </c>
      <c r="P19" s="11">
        <v>13.45</v>
      </c>
      <c r="Q19" s="11">
        <v>40.590000000000003</v>
      </c>
      <c r="R19" s="11">
        <v>2178.56</v>
      </c>
    </row>
    <row r="20" spans="1:18" x14ac:dyDescent="0.35">
      <c r="A20">
        <v>2</v>
      </c>
      <c r="B20" t="s">
        <v>33</v>
      </c>
      <c r="C20" s="15">
        <v>44670</v>
      </c>
      <c r="D20" s="13" t="s">
        <v>11</v>
      </c>
      <c r="E20" s="7">
        <v>7.66</v>
      </c>
      <c r="F20" s="8">
        <v>6.0112395024310157</v>
      </c>
      <c r="G20" s="9">
        <v>76.701680672268907</v>
      </c>
      <c r="H20" s="8">
        <v>2.7082407692307688</v>
      </c>
      <c r="I20" s="8">
        <v>1.2019230769230769</v>
      </c>
      <c r="J20" s="11">
        <v>1334.73</v>
      </c>
      <c r="K20" s="11">
        <v>497.54</v>
      </c>
      <c r="L20" s="11">
        <v>64.790000000000006</v>
      </c>
      <c r="M20" s="11">
        <v>44.06</v>
      </c>
      <c r="N20" s="11">
        <v>82.04</v>
      </c>
      <c r="O20" s="11">
        <v>15.33</v>
      </c>
      <c r="P20" s="11">
        <v>9.26</v>
      </c>
      <c r="Q20" s="11">
        <v>23.62</v>
      </c>
      <c r="R20" s="11">
        <v>2071.37</v>
      </c>
    </row>
    <row r="21" spans="1:18" x14ac:dyDescent="0.35">
      <c r="A21">
        <v>5</v>
      </c>
      <c r="B21" t="s">
        <v>34</v>
      </c>
      <c r="C21" s="16">
        <v>44677</v>
      </c>
      <c r="D21" s="13" t="s">
        <v>12</v>
      </c>
      <c r="E21" s="7">
        <v>8.17</v>
      </c>
      <c r="F21" s="8">
        <v>21.64726175075463</v>
      </c>
      <c r="G21" s="9">
        <v>93.09428950863213</v>
      </c>
      <c r="H21" s="8">
        <v>2.99664442700157</v>
      </c>
      <c r="I21" s="10">
        <v>1.3414762969588552</v>
      </c>
      <c r="J21" s="11">
        <v>60.58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60.58</v>
      </c>
    </row>
    <row r="22" spans="1:18" x14ac:dyDescent="0.35">
      <c r="A22">
        <v>5</v>
      </c>
      <c r="B22" t="s">
        <v>34</v>
      </c>
      <c r="C22" s="16">
        <v>44677</v>
      </c>
      <c r="D22" s="13" t="s">
        <v>12</v>
      </c>
      <c r="E22" s="7">
        <v>8.19</v>
      </c>
      <c r="F22" s="8">
        <v>22.030497592295344</v>
      </c>
      <c r="G22" s="9">
        <v>92.063492063492049</v>
      </c>
      <c r="H22" s="8">
        <v>2.777362110311751</v>
      </c>
      <c r="I22" s="10">
        <v>1.2163854679802955</v>
      </c>
      <c r="J22" s="11">
        <v>59.53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59.53</v>
      </c>
    </row>
    <row r="23" spans="1:18" x14ac:dyDescent="0.35">
      <c r="A23">
        <v>5</v>
      </c>
      <c r="B23" t="s">
        <v>34</v>
      </c>
      <c r="C23" s="16">
        <v>44677</v>
      </c>
      <c r="D23" s="13" t="s">
        <v>14</v>
      </c>
      <c r="E23" s="7">
        <v>7.86</v>
      </c>
      <c r="F23" s="8">
        <v>3.6486486486486482</v>
      </c>
      <c r="G23" s="9">
        <v>68.543046357615921</v>
      </c>
      <c r="H23" s="8">
        <v>2.3259845559845562</v>
      </c>
      <c r="I23" s="8">
        <v>1.1472275334608031</v>
      </c>
      <c r="J23" s="11">
        <v>1946.99</v>
      </c>
      <c r="K23" s="11">
        <v>826.1</v>
      </c>
      <c r="L23" s="11">
        <v>215.03</v>
      </c>
      <c r="M23" s="11">
        <v>672.93</v>
      </c>
      <c r="N23" s="11">
        <v>282.67</v>
      </c>
      <c r="O23" s="11">
        <v>174.59</v>
      </c>
      <c r="P23" s="11">
        <v>8.0399999999999991</v>
      </c>
      <c r="Q23" s="11">
        <v>60.23</v>
      </c>
      <c r="R23" s="11">
        <v>4186.58</v>
      </c>
    </row>
    <row r="24" spans="1:18" x14ac:dyDescent="0.35">
      <c r="A24">
        <v>5</v>
      </c>
      <c r="B24" t="s">
        <v>34</v>
      </c>
      <c r="C24" s="16">
        <v>44677</v>
      </c>
      <c r="D24" s="13" t="s">
        <v>14</v>
      </c>
      <c r="E24" s="7">
        <v>7.86</v>
      </c>
      <c r="F24" s="8">
        <v>3.673897050627549</v>
      </c>
      <c r="G24" s="9">
        <v>69.127516778523443</v>
      </c>
      <c r="H24" s="8">
        <v>1.813176807444524</v>
      </c>
      <c r="I24" s="8">
        <v>1.1307767944936089</v>
      </c>
      <c r="J24" s="11">
        <v>1960.01</v>
      </c>
      <c r="K24" s="11">
        <v>833.71</v>
      </c>
      <c r="L24" s="11">
        <v>217.2</v>
      </c>
      <c r="M24" s="11">
        <v>688.58</v>
      </c>
      <c r="N24" s="11">
        <v>282.11</v>
      </c>
      <c r="O24" s="11">
        <v>168.92</v>
      </c>
      <c r="P24" s="11">
        <v>7.62</v>
      </c>
      <c r="Q24" s="11">
        <v>83.94</v>
      </c>
      <c r="R24" s="11">
        <v>4242.0899999999992</v>
      </c>
    </row>
    <row r="25" spans="1:18" x14ac:dyDescent="0.35">
      <c r="A25">
        <v>5</v>
      </c>
      <c r="B25" t="s">
        <v>34</v>
      </c>
      <c r="C25" s="16">
        <v>44677</v>
      </c>
      <c r="D25" s="13" t="s">
        <v>13</v>
      </c>
      <c r="E25" s="7">
        <v>7.66</v>
      </c>
      <c r="F25" s="8">
        <v>2.3441744935185893</v>
      </c>
      <c r="G25" s="9">
        <v>77.30949340144744</v>
      </c>
      <c r="H25" s="8">
        <v>2.1254828815977174</v>
      </c>
      <c r="I25" s="8">
        <v>1.0396039603960396</v>
      </c>
      <c r="J25" s="11">
        <v>1595.29</v>
      </c>
      <c r="K25" s="11">
        <v>680.14</v>
      </c>
      <c r="L25" s="11">
        <v>219.52</v>
      </c>
      <c r="M25" s="11">
        <v>526.14</v>
      </c>
      <c r="N25" s="11">
        <v>292.22000000000003</v>
      </c>
      <c r="O25" s="11">
        <v>134.18</v>
      </c>
      <c r="P25" s="11">
        <v>8.1999999999999993</v>
      </c>
      <c r="Q25" s="11">
        <v>85.86</v>
      </c>
      <c r="R25" s="11">
        <v>3541.5499999999993</v>
      </c>
    </row>
    <row r="26" spans="1:18" x14ac:dyDescent="0.35">
      <c r="A26">
        <v>5</v>
      </c>
      <c r="B26" t="s">
        <v>34</v>
      </c>
      <c r="C26" s="16">
        <v>44677</v>
      </c>
      <c r="D26" s="13" t="s">
        <v>13</v>
      </c>
      <c r="E26" s="7">
        <v>7.65</v>
      </c>
      <c r="F26" s="8">
        <v>2.3705144069294684</v>
      </c>
      <c r="G26" s="9">
        <v>76.94174757281553</v>
      </c>
      <c r="H26" s="8">
        <v>2.1279524475524476</v>
      </c>
      <c r="I26" s="8">
        <v>1.1904761904761905</v>
      </c>
      <c r="J26" s="11">
        <v>1599.47</v>
      </c>
      <c r="K26" s="11">
        <v>682.77</v>
      </c>
      <c r="L26" s="11">
        <v>221.77</v>
      </c>
      <c r="M26" s="11">
        <v>526.73</v>
      </c>
      <c r="N26" s="11">
        <v>293.04000000000002</v>
      </c>
      <c r="O26" s="11">
        <v>137.54</v>
      </c>
      <c r="P26" s="11">
        <v>7.84</v>
      </c>
      <c r="Q26" s="11">
        <v>89.45</v>
      </c>
      <c r="R26" s="11">
        <v>3558.6099999999997</v>
      </c>
    </row>
    <row r="27" spans="1:18" x14ac:dyDescent="0.35">
      <c r="A27">
        <v>3</v>
      </c>
      <c r="B27" t="s">
        <v>35</v>
      </c>
      <c r="C27" s="17">
        <v>44818</v>
      </c>
      <c r="D27" t="s">
        <v>11</v>
      </c>
      <c r="E27" s="1">
        <v>7.92</v>
      </c>
      <c r="F27" s="10">
        <v>6.5459439618255235</v>
      </c>
      <c r="G27" s="10">
        <v>75.021240441801197</v>
      </c>
      <c r="H27" s="10">
        <v>3.0426423529411766</v>
      </c>
      <c r="I27" s="10">
        <v>1.5120967741935483</v>
      </c>
    </row>
    <row r="28" spans="1:18" x14ac:dyDescent="0.35">
      <c r="A28">
        <v>3</v>
      </c>
      <c r="B28" t="s">
        <v>35</v>
      </c>
      <c r="C28" s="17">
        <v>44818</v>
      </c>
      <c r="D28" t="s">
        <v>11</v>
      </c>
      <c r="E28" s="1">
        <v>7.93</v>
      </c>
      <c r="F28" s="10">
        <v>6.2001910727890577</v>
      </c>
      <c r="G28" s="10">
        <v>79.403159742539501</v>
      </c>
      <c r="H28" s="10">
        <v>3.1574776119402985</v>
      </c>
      <c r="I28" s="10">
        <v>1.5358361774744027</v>
      </c>
    </row>
    <row r="29" spans="1:18" x14ac:dyDescent="0.35">
      <c r="A29">
        <v>3</v>
      </c>
      <c r="B29" t="s">
        <v>35</v>
      </c>
      <c r="C29" s="17">
        <v>44818</v>
      </c>
      <c r="D29" t="s">
        <v>10</v>
      </c>
      <c r="E29" s="1">
        <v>7.96</v>
      </c>
      <c r="F29" s="10">
        <v>5.3593939466701883</v>
      </c>
      <c r="G29" s="10">
        <v>69.623655913978496</v>
      </c>
      <c r="H29" s="10">
        <v>2.6587033831628641</v>
      </c>
      <c r="I29" s="10">
        <v>1.0607521697203472</v>
      </c>
    </row>
    <row r="30" spans="1:18" x14ac:dyDescent="0.35">
      <c r="A30">
        <v>3</v>
      </c>
      <c r="B30" t="s">
        <v>35</v>
      </c>
      <c r="C30" s="17">
        <v>44818</v>
      </c>
      <c r="D30" t="s">
        <v>10</v>
      </c>
      <c r="E30" s="1">
        <v>7.96</v>
      </c>
      <c r="F30" s="10">
        <v>5.3483855044158517</v>
      </c>
      <c r="G30" s="10">
        <v>69.442215088282509</v>
      </c>
      <c r="H30" s="10">
        <v>2.5681215559157216</v>
      </c>
      <c r="I30" s="10">
        <v>1.0692464358452138</v>
      </c>
    </row>
    <row r="31" spans="1:18" x14ac:dyDescent="0.35">
      <c r="A31">
        <v>3</v>
      </c>
      <c r="B31" t="s">
        <v>35</v>
      </c>
      <c r="C31" s="17">
        <v>44818</v>
      </c>
      <c r="D31" t="s">
        <v>9</v>
      </c>
      <c r="E31" s="1">
        <v>6.63</v>
      </c>
      <c r="F31" s="10">
        <v>52.716905187835437</v>
      </c>
      <c r="G31" s="10">
        <v>88.377518557794275</v>
      </c>
      <c r="H31" s="10">
        <v>12.946277777777777</v>
      </c>
      <c r="I31" s="10">
        <v>1.5589873417721518</v>
      </c>
    </row>
    <row r="32" spans="1:18" x14ac:dyDescent="0.35">
      <c r="A32">
        <v>3</v>
      </c>
      <c r="B32" t="s">
        <v>35</v>
      </c>
      <c r="C32" s="17">
        <v>44818</v>
      </c>
      <c r="D32" t="s">
        <v>9</v>
      </c>
      <c r="E32" s="1">
        <v>6.56</v>
      </c>
      <c r="F32" s="10">
        <v>52.810351799433889</v>
      </c>
      <c r="G32" s="10">
        <v>88.437978560490052</v>
      </c>
      <c r="H32" s="10">
        <v>13.620453658536587</v>
      </c>
      <c r="I32" s="10">
        <v>1.1015096719932718</v>
      </c>
    </row>
    <row r="33" spans="1:11" x14ac:dyDescent="0.35">
      <c r="A33">
        <v>8</v>
      </c>
      <c r="B33" t="s">
        <v>36</v>
      </c>
      <c r="C33" s="18">
        <v>44825</v>
      </c>
      <c r="D33" t="s">
        <v>15</v>
      </c>
      <c r="E33" s="1">
        <v>8.5</v>
      </c>
      <c r="F33" s="10">
        <v>6.5232403718459508</v>
      </c>
      <c r="G33" s="10">
        <v>68.783930510314875</v>
      </c>
      <c r="H33" s="10">
        <v>2.44</v>
      </c>
      <c r="I33" s="10">
        <v>0.95299999999999996</v>
      </c>
      <c r="K33" s="21"/>
    </row>
    <row r="34" spans="1:11" x14ac:dyDescent="0.35">
      <c r="A34">
        <v>8</v>
      </c>
      <c r="B34" t="s">
        <v>36</v>
      </c>
      <c r="C34" s="18">
        <v>44825</v>
      </c>
      <c r="D34" t="s">
        <v>15</v>
      </c>
      <c r="E34" s="1">
        <v>8.49</v>
      </c>
      <c r="F34" s="10">
        <v>7.117497531564462</v>
      </c>
      <c r="G34" s="10">
        <v>68.831168831168839</v>
      </c>
      <c r="H34" s="10">
        <v>1.9139999999999999</v>
      </c>
      <c r="I34" s="10">
        <v>0.63</v>
      </c>
      <c r="K34" s="21"/>
    </row>
    <row r="35" spans="1:11" x14ac:dyDescent="0.35">
      <c r="A35">
        <v>8</v>
      </c>
      <c r="B35" t="s">
        <v>36</v>
      </c>
      <c r="C35" s="18">
        <v>44825</v>
      </c>
      <c r="D35" t="s">
        <v>16</v>
      </c>
      <c r="E35" s="1">
        <v>9.2200000000000006</v>
      </c>
      <c r="F35" s="10">
        <v>17.57367508667657</v>
      </c>
      <c r="G35" s="10">
        <v>59.952439668839162</v>
      </c>
      <c r="H35" s="10">
        <v>1.5229999999999999</v>
      </c>
      <c r="I35" s="10">
        <v>0.36499999999999999</v>
      </c>
    </row>
    <row r="36" spans="1:11" x14ac:dyDescent="0.35">
      <c r="A36">
        <v>8</v>
      </c>
      <c r="B36" t="s">
        <v>36</v>
      </c>
      <c r="C36" s="18">
        <v>44825</v>
      </c>
      <c r="D36" t="s">
        <v>16</v>
      </c>
      <c r="E36" s="1">
        <v>9.19</v>
      </c>
      <c r="F36" s="10">
        <v>19.701901089913701</v>
      </c>
      <c r="G36" s="10">
        <v>55.82006099627246</v>
      </c>
      <c r="H36" s="10">
        <v>1.1100000000000001</v>
      </c>
      <c r="I36" s="10" t="e">
        <v>#VALUE!</v>
      </c>
    </row>
    <row r="37" spans="1:11" x14ac:dyDescent="0.35">
      <c r="A37">
        <v>8</v>
      </c>
      <c r="B37" t="s">
        <v>36</v>
      </c>
      <c r="C37" s="18">
        <v>44825</v>
      </c>
      <c r="D37" t="s">
        <v>10</v>
      </c>
      <c r="E37" s="1">
        <v>8.08</v>
      </c>
      <c r="F37" s="10">
        <v>5.9232361736387231</v>
      </c>
      <c r="G37" s="10">
        <v>69.45908460471567</v>
      </c>
      <c r="H37" s="10">
        <v>2.0070000000000001</v>
      </c>
      <c r="I37" s="10">
        <v>0.70799999999999996</v>
      </c>
      <c r="K37" s="21"/>
    </row>
    <row r="38" spans="1:11" x14ac:dyDescent="0.35">
      <c r="A38">
        <v>8</v>
      </c>
      <c r="B38" t="s">
        <v>36</v>
      </c>
      <c r="C38" s="18">
        <v>44825</v>
      </c>
      <c r="D38" t="s">
        <v>10</v>
      </c>
      <c r="E38" s="1">
        <v>8.08</v>
      </c>
      <c r="F38" s="10">
        <v>6.0716774724926603</v>
      </c>
      <c r="G38" s="10">
        <v>69.634782608695645</v>
      </c>
      <c r="H38" s="10">
        <v>1.5349999999999999</v>
      </c>
      <c r="I38" s="10">
        <v>0.40200000000000002</v>
      </c>
    </row>
    <row r="39" spans="1:11" x14ac:dyDescent="0.35">
      <c r="A39">
        <v>7</v>
      </c>
      <c r="B39" t="s">
        <v>37</v>
      </c>
      <c r="C39" s="17">
        <v>44832</v>
      </c>
      <c r="D39" t="s">
        <v>17</v>
      </c>
      <c r="E39" s="1">
        <v>8.23</v>
      </c>
      <c r="F39" s="10">
        <v>41.104323089120001</v>
      </c>
      <c r="G39" s="10">
        <v>61.459042432493746</v>
      </c>
      <c r="H39" s="10">
        <v>9.0465183486238523</v>
      </c>
      <c r="I39" s="10">
        <v>1.1327190542420027</v>
      </c>
    </row>
    <row r="40" spans="1:11" x14ac:dyDescent="0.35">
      <c r="A40">
        <v>7</v>
      </c>
      <c r="B40" t="s">
        <v>37</v>
      </c>
      <c r="C40" s="17">
        <v>44832</v>
      </c>
      <c r="D40" t="s">
        <v>17</v>
      </c>
      <c r="E40" s="1">
        <v>8.1999999999999993</v>
      </c>
      <c r="F40" s="10">
        <v>38.234347336230478</v>
      </c>
      <c r="G40" s="10">
        <v>85.897705746158707</v>
      </c>
      <c r="H40" s="10">
        <v>9.503798507462685</v>
      </c>
      <c r="I40" s="10">
        <v>1.5929965928449745</v>
      </c>
    </row>
    <row r="41" spans="1:11" x14ac:dyDescent="0.35">
      <c r="A41">
        <v>7</v>
      </c>
      <c r="B41" t="s">
        <v>37</v>
      </c>
      <c r="C41" s="17">
        <v>44832</v>
      </c>
      <c r="D41" t="s">
        <v>9</v>
      </c>
      <c r="E41" s="1">
        <v>6.88</v>
      </c>
      <c r="F41" s="10">
        <v>44.220963172804531</v>
      </c>
      <c r="G41" s="10">
        <v>88.244714926329266</v>
      </c>
      <c r="H41" s="10">
        <v>9.891721238938052</v>
      </c>
      <c r="I41" s="10">
        <v>1.6887778772951187</v>
      </c>
    </row>
    <row r="42" spans="1:11" x14ac:dyDescent="0.35">
      <c r="A42">
        <v>7</v>
      </c>
      <c r="B42" t="s">
        <v>37</v>
      </c>
      <c r="C42" s="17">
        <v>44832</v>
      </c>
      <c r="D42" t="s">
        <v>9</v>
      </c>
      <c r="E42" s="1">
        <v>6.88</v>
      </c>
      <c r="F42" s="10">
        <v>46.517522592021159</v>
      </c>
      <c r="G42" s="10">
        <v>88.178156834873249</v>
      </c>
      <c r="H42" s="10">
        <v>8.4997537878787863</v>
      </c>
      <c r="I42" s="10">
        <v>1.4416936731907146</v>
      </c>
    </row>
    <row r="43" spans="1:11" x14ac:dyDescent="0.35">
      <c r="A43">
        <v>6</v>
      </c>
      <c r="B43" t="s">
        <v>38</v>
      </c>
      <c r="C43" s="19">
        <v>44853</v>
      </c>
      <c r="D43" s="1" t="s">
        <v>12</v>
      </c>
      <c r="E43" s="1">
        <v>8.84</v>
      </c>
      <c r="F43" s="10">
        <v>29.074306888109579</v>
      </c>
      <c r="G43" s="10">
        <v>91.9435593991807</v>
      </c>
      <c r="H43" s="10">
        <v>5.6416436915887855</v>
      </c>
      <c r="I43" s="10">
        <v>3.313344733242134</v>
      </c>
    </row>
    <row r="44" spans="1:11" x14ac:dyDescent="0.35">
      <c r="A44">
        <v>6</v>
      </c>
      <c r="B44" t="s">
        <v>38</v>
      </c>
      <c r="C44" s="19">
        <v>44853</v>
      </c>
      <c r="D44" s="1" t="s">
        <v>12</v>
      </c>
      <c r="E44" s="1">
        <v>8.83</v>
      </c>
      <c r="F44" s="10">
        <v>28.760962446593215</v>
      </c>
      <c r="G44" s="10">
        <v>92.14229867083661</v>
      </c>
      <c r="H44" s="10">
        <v>5.9723748251748265</v>
      </c>
      <c r="I44" s="10">
        <v>3.6103846153846155</v>
      </c>
    </row>
    <row r="45" spans="1:11" x14ac:dyDescent="0.35">
      <c r="A45">
        <v>6</v>
      </c>
      <c r="B45" t="s">
        <v>38</v>
      </c>
      <c r="C45" s="19">
        <v>44853</v>
      </c>
      <c r="D45" s="1" t="s">
        <v>14</v>
      </c>
      <c r="E45" s="1">
        <v>7.07</v>
      </c>
      <c r="F45" s="10">
        <v>6.3430803835681306</v>
      </c>
      <c r="G45" s="10">
        <v>79.60059723777529</v>
      </c>
      <c r="H45" s="10">
        <f>2157/1000</f>
        <v>2.157</v>
      </c>
      <c r="I45" s="10">
        <f>958/1000</f>
        <v>0.95799999999999996</v>
      </c>
    </row>
    <row r="46" spans="1:11" x14ac:dyDescent="0.35">
      <c r="A46">
        <v>6</v>
      </c>
      <c r="B46" t="s">
        <v>38</v>
      </c>
      <c r="C46" s="19">
        <v>44853</v>
      </c>
      <c r="D46" s="1" t="s">
        <v>14</v>
      </c>
      <c r="E46" s="1">
        <v>7.08</v>
      </c>
      <c r="F46" s="10">
        <v>6.1370943683913959</v>
      </c>
      <c r="G46" s="10">
        <v>78.881987577639762</v>
      </c>
      <c r="H46" s="10">
        <f>1891/1000</f>
        <v>1.891</v>
      </c>
      <c r="I46" s="10">
        <f>781/1000</f>
        <v>0.78100000000000003</v>
      </c>
    </row>
    <row r="47" spans="1:11" x14ac:dyDescent="0.35">
      <c r="A47">
        <v>6</v>
      </c>
      <c r="B47" t="s">
        <v>38</v>
      </c>
      <c r="C47" s="19">
        <v>44853</v>
      </c>
      <c r="D47" t="s">
        <v>13</v>
      </c>
      <c r="E47" s="1">
        <v>7.87</v>
      </c>
      <c r="F47" s="10">
        <v>2.0595242902717756</v>
      </c>
      <c r="G47" s="10">
        <v>60.000000000000028</v>
      </c>
      <c r="H47" s="10">
        <f>1439/1000</f>
        <v>1.4390000000000001</v>
      </c>
      <c r="I47" s="10">
        <f>517/1000</f>
        <v>0.51700000000000002</v>
      </c>
    </row>
    <row r="48" spans="1:11" x14ac:dyDescent="0.35">
      <c r="A48">
        <v>6</v>
      </c>
      <c r="B48" t="s">
        <v>38</v>
      </c>
      <c r="C48" s="19">
        <v>44853</v>
      </c>
      <c r="D48" t="s">
        <v>13</v>
      </c>
      <c r="E48" s="1">
        <v>7.88</v>
      </c>
      <c r="F48" s="10">
        <v>2.0702549058353221</v>
      </c>
      <c r="G48" s="10">
        <v>59.618208516886952</v>
      </c>
      <c r="H48" s="10">
        <f>1581/1000</f>
        <v>1.581</v>
      </c>
      <c r="I48" s="10">
        <f>665/1000</f>
        <v>0.66500000000000004</v>
      </c>
    </row>
    <row r="49" spans="1:10" x14ac:dyDescent="0.35">
      <c r="A49">
        <v>9</v>
      </c>
      <c r="B49" t="s">
        <v>39</v>
      </c>
      <c r="C49" s="20">
        <v>44859</v>
      </c>
      <c r="D49" t="s">
        <v>13</v>
      </c>
      <c r="E49" s="1">
        <v>7.58</v>
      </c>
      <c r="F49" s="10">
        <v>2.1114903299203642</v>
      </c>
      <c r="G49" s="10">
        <v>57.327586206896562</v>
      </c>
      <c r="H49" s="10">
        <v>1.613</v>
      </c>
      <c r="I49" s="10">
        <v>0.66800000000000004</v>
      </c>
    </row>
    <row r="50" spans="1:10" x14ac:dyDescent="0.35">
      <c r="A50">
        <v>9</v>
      </c>
      <c r="B50" t="s">
        <v>39</v>
      </c>
      <c r="C50" s="20">
        <v>44859</v>
      </c>
      <c r="D50" t="s">
        <v>13</v>
      </c>
      <c r="E50" s="1">
        <v>7.59</v>
      </c>
      <c r="F50" s="10">
        <v>2.1061388913214811</v>
      </c>
      <c r="G50" s="10">
        <v>57.311157311157324</v>
      </c>
      <c r="H50" s="10">
        <v>1.542</v>
      </c>
      <c r="I50" s="10">
        <v>0.59799999999999998</v>
      </c>
      <c r="J50" s="21"/>
    </row>
    <row r="51" spans="1:10" x14ac:dyDescent="0.35">
      <c r="A51">
        <v>9</v>
      </c>
      <c r="B51" t="s">
        <v>39</v>
      </c>
      <c r="C51" s="20">
        <v>44859</v>
      </c>
      <c r="D51" t="s">
        <v>18</v>
      </c>
      <c r="E51" s="1">
        <v>7.62</v>
      </c>
      <c r="F51" s="10">
        <v>2.6881566925536773</v>
      </c>
      <c r="G51" s="10">
        <v>59.638874137015407</v>
      </c>
      <c r="H51" s="10">
        <v>1.5640000000000001</v>
      </c>
      <c r="I51" s="10">
        <v>0.54300000000000004</v>
      </c>
    </row>
    <row r="52" spans="1:10" x14ac:dyDescent="0.35">
      <c r="A52">
        <v>9</v>
      </c>
      <c r="B52" t="s">
        <v>39</v>
      </c>
      <c r="C52" s="20">
        <v>44859</v>
      </c>
      <c r="D52" t="s">
        <v>18</v>
      </c>
      <c r="E52" s="1">
        <v>7.62</v>
      </c>
      <c r="F52" s="10">
        <v>2.6394601285788437</v>
      </c>
      <c r="G52" s="10">
        <v>59.657085224407467</v>
      </c>
      <c r="H52" s="10">
        <v>1.4630000000000001</v>
      </c>
      <c r="I52" s="10">
        <v>0.46100000000000002</v>
      </c>
      <c r="J52" s="21"/>
    </row>
    <row r="53" spans="1:10" x14ac:dyDescent="0.35">
      <c r="A53">
        <v>9</v>
      </c>
      <c r="B53" t="s">
        <v>39</v>
      </c>
      <c r="C53" s="20">
        <v>44859</v>
      </c>
      <c r="D53" t="s">
        <v>19</v>
      </c>
      <c r="E53" s="1">
        <v>8.19</v>
      </c>
      <c r="F53" s="10">
        <v>5.0737931148462154</v>
      </c>
      <c r="G53" s="10">
        <v>61.009771986970705</v>
      </c>
      <c r="H53" s="10">
        <v>1.3640000000000001</v>
      </c>
      <c r="I53" s="10">
        <v>0.315</v>
      </c>
    </row>
    <row r="54" spans="1:10" x14ac:dyDescent="0.35">
      <c r="A54">
        <v>9</v>
      </c>
      <c r="B54" t="s">
        <v>39</v>
      </c>
      <c r="C54" s="20">
        <v>44859</v>
      </c>
      <c r="D54" t="s">
        <v>19</v>
      </c>
      <c r="E54" s="1">
        <v>8.19</v>
      </c>
      <c r="F54" s="10">
        <v>4.9395866454689985</v>
      </c>
      <c r="G54" s="10">
        <v>61.184422272288394</v>
      </c>
      <c r="H54" s="10">
        <v>1.4950000000000001</v>
      </c>
      <c r="I54" s="10">
        <v>0.40200000000000002</v>
      </c>
      <c r="J54" s="2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2025-11-23T10:52:02Z</dcterms:created>
  <dcterms:modified xsi:type="dcterms:W3CDTF">2026-01-08T12:05:40Z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1323618125924795208</vt:lpwstr>
  </property>
  <property fmtid="{D5CDD505-2E9C-101B-9397-08002B2CF9AE}" pid="5" name="TemplafyFromBlank">
    <vt:bool>true</vt:bool>
  </property>
</Properties>
</file>